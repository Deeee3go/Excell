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ProjetoExcell\Excell\"/>
    </mc:Choice>
  </mc:AlternateContent>
  <xr:revisionPtr revIDLastSave="0" documentId="13_ncr:1_{09917218-ED3F-45EA-AA9F-27F67DD8D7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dastro" sheetId="2" r:id="rId1"/>
    <sheet name="Banco de Dad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2" l="1" a="1"/>
  <c r="E8" i="2" s="1"/>
  <c r="E10" i="2" a="1"/>
  <c r="E10" i="2" s="1"/>
  <c r="E4" i="2"/>
  <c r="E1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<sst xmlns="http://schemas.openxmlformats.org/spreadsheetml/2006/main" count="90" uniqueCount="87">
  <si>
    <t>CADASTRO DE CLIENTES</t>
  </si>
  <si>
    <t>Código do Cliente:</t>
  </si>
  <si>
    <t>Nome:</t>
  </si>
  <si>
    <t>Cidade:</t>
  </si>
  <si>
    <t>São Paulo</t>
  </si>
  <si>
    <t>Estado:</t>
  </si>
  <si>
    <t>SP</t>
  </si>
  <si>
    <t>Telefone:</t>
  </si>
  <si>
    <t>E-mail:</t>
  </si>
  <si>
    <t>Total de Clientes:</t>
  </si>
  <si>
    <t>Nome</t>
  </si>
  <si>
    <t>Cidade</t>
  </si>
  <si>
    <t>Estado</t>
  </si>
  <si>
    <t>Telefone</t>
  </si>
  <si>
    <t>E-mail</t>
  </si>
  <si>
    <t>Rio de Janeiro</t>
  </si>
  <si>
    <t>RJ</t>
  </si>
  <si>
    <t>MG</t>
  </si>
  <si>
    <t>PR</t>
  </si>
  <si>
    <t>BANCO DE DADOS DE CLIENTES</t>
  </si>
  <si>
    <t>Cód.Regist</t>
  </si>
  <si>
    <t>Projeto</t>
  </si>
  <si>
    <t>Tratativa</t>
  </si>
  <si>
    <t>CPF</t>
  </si>
  <si>
    <t>Contrato</t>
  </si>
  <si>
    <t>CPF:</t>
  </si>
  <si>
    <t>Contrato:</t>
  </si>
  <si>
    <t>Projeto:</t>
  </si>
  <si>
    <t>Claro</t>
  </si>
  <si>
    <t>Caixa Residencial</t>
  </si>
  <si>
    <t>Olhar Digital</t>
  </si>
  <si>
    <t>Tempo Assist</t>
  </si>
  <si>
    <t>Cliente sem sinal de xxxxx, procedimentos de desligar e ligar solicitados, mas sem sucesso, cliente orientado  a ligar na central 0800 723 6626 ou 10621, para obter a ajuda necessária</t>
  </si>
  <si>
    <t>Tratativa:</t>
  </si>
  <si>
    <t>Santander</t>
  </si>
  <si>
    <t>AC</t>
  </si>
  <si>
    <t>Acre</t>
  </si>
  <si>
    <t>AL</t>
  </si>
  <si>
    <t>Alagoas</t>
  </si>
  <si>
    <t>AP</t>
  </si>
  <si>
    <t>Amapá</t>
  </si>
  <si>
    <t>AM</t>
  </si>
  <si>
    <t>Amazonas</t>
  </si>
  <si>
    <t>BA</t>
  </si>
  <si>
    <t>Bahia</t>
  </si>
  <si>
    <t>CE</t>
  </si>
  <si>
    <t>Ceará</t>
  </si>
  <si>
    <t>DF</t>
  </si>
  <si>
    <t>Distrito Federal</t>
  </si>
  <si>
    <t>ES</t>
  </si>
  <si>
    <t>Espírito Santo</t>
  </si>
  <si>
    <t>GO</t>
  </si>
  <si>
    <t>Goiás</t>
  </si>
  <si>
    <t>MA</t>
  </si>
  <si>
    <t>Maranhão</t>
  </si>
  <si>
    <t>MT</t>
  </si>
  <si>
    <t>Mato Grosso</t>
  </si>
  <si>
    <t>MS</t>
  </si>
  <si>
    <t>Mato Grosso do Sul</t>
  </si>
  <si>
    <t>Minas Gerais</t>
  </si>
  <si>
    <t>PA</t>
  </si>
  <si>
    <t>Pará</t>
  </si>
  <si>
    <t>PB</t>
  </si>
  <si>
    <t>Paraíba</t>
  </si>
  <si>
    <t>Paraná</t>
  </si>
  <si>
    <t>PE</t>
  </si>
  <si>
    <t>Pernambuco</t>
  </si>
  <si>
    <t>PI</t>
  </si>
  <si>
    <t>Piauí</t>
  </si>
  <si>
    <t>RN</t>
  </si>
  <si>
    <t>Rio Grande do Norte</t>
  </si>
  <si>
    <t>RS</t>
  </si>
  <si>
    <t>Rio Grande do Sul</t>
  </si>
  <si>
    <t>RO</t>
  </si>
  <si>
    <t>Rondônia</t>
  </si>
  <si>
    <t>RR</t>
  </si>
  <si>
    <t>Roraima</t>
  </si>
  <si>
    <t>SC</t>
  </si>
  <si>
    <t>Santa Catarina</t>
  </si>
  <si>
    <t>SE</t>
  </si>
  <si>
    <t>Sergipe</t>
  </si>
  <si>
    <t>TO</t>
  </si>
  <si>
    <t>Tocantins</t>
  </si>
  <si>
    <t>Maria Teste</t>
  </si>
  <si>
    <t>123344|022</t>
  </si>
  <si>
    <t>Passo Fundo</t>
  </si>
  <si>
    <t>mariateste@gmail.com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</si>
</sst>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##&quot;)&quot;#####\-####"/>
    <numFmt numFmtId="165" formatCode="000&quot;.&quot;000&quot;.&quot;000\-00"/>
    <numFmt numFmtId="166" formatCode="00000000000"/>
  </numFmts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2" xfId="0" applyFont="1" applyBorder="1"/>
    <xf numFmtId="0" fontId="3" fillId="3" borderId="1" xfId="0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1" fillId="5" borderId="0" xfId="0" applyFont="1" applyFill="1" applyBorder="1"/>
    <xf numFmtId="0" fontId="3" fillId="5" borderId="0" xfId="0" applyFont="1" applyFill="1" applyBorder="1" applyAlignment="1"/>
    <xf numFmtId="0" fontId="2" fillId="2" borderId="4" xfId="0" applyFont="1" applyFill="1" applyBorder="1" applyAlignment="1">
      <alignment horizontal="left"/>
    </xf>
    <xf numFmtId="0" fontId="3" fillId="3" borderId="3" xfId="0" applyFont="1" applyFill="1" applyBorder="1" applyAlignment="1"/>
    <xf numFmtId="0" fontId="3" fillId="3" borderId="3" xfId="0" applyFont="1" applyFill="1" applyBorder="1" applyAlignment="1">
      <alignment horizontal="left"/>
    </xf>
    <xf numFmtId="0" fontId="1" fillId="0" borderId="0" xfId="0" applyFont="1" applyBorder="1"/>
    <xf numFmtId="0" fontId="5" fillId="3" borderId="3" xfId="1" applyFill="1" applyBorder="1" applyAlignment="1"/>
    <xf numFmtId="0" fontId="0" fillId="6" borderId="5" xfId="0" applyFill="1" applyBorder="1"/>
    <xf numFmtId="0" fontId="0" fillId="7" borderId="5" xfId="0" applyFill="1" applyBorder="1"/>
    <xf numFmtId="0" fontId="1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left" vertical="top" wrapText="1"/>
    </xf>
    <xf numFmtId="0" fontId="3" fillId="3" borderId="3" xfId="0" applyNumberFormat="1" applyFont="1" applyFill="1" applyBorder="1" applyAlignment="1">
      <alignment horizontal="left" vertical="top"/>
    </xf>
    <xf numFmtId="16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5" fontId="1" fillId="3" borderId="3" xfId="0" applyNumberFormat="1" applyFont="1" applyFill="1" applyBorder="1" applyAlignment="1">
      <alignment horizontal="left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">
    <dxf>
      <numFmt numFmtId="164" formatCode="&quot;(&quot;##&quot;)&quot;#####\-####"/>
    </dxf>
    <dxf>
      <alignment horizontal="center" vertical="bottom" textRotation="0" wrapText="1" indent="0" justifyLastLine="0" shrinkToFit="0" readingOrder="0"/>
    </dxf>
    <dxf>
      <numFmt numFmtId="166" formatCode="00000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S$3" fmlaRange="$S$4:$S$8" sel="3" val="0"/>
</file>

<file path=xl/ctrlProps/ctrlProp2.xml><?xml version="1.0" encoding="utf-8"?>
<formControlPr xmlns="http://schemas.microsoft.com/office/spreadsheetml/2009/9/main" objectType="Drop" dropStyle="combo" dx="22" fmlaLink="$R$3" fmlaRange="$W$12:$W$38" sel="24" val="19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14</xdr:row>
      <xdr:rowOff>152400</xdr:rowOff>
    </xdr:from>
    <xdr:to>
      <xdr:col>6</xdr:col>
      <xdr:colOff>593250</xdr:colOff>
      <xdr:row>16</xdr:row>
      <xdr:rowOff>36150</xdr:rowOff>
    </xdr:to>
    <xdr:sp macro="[0]!cadcli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43300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Cadastrar</a:t>
          </a:r>
        </a:p>
      </xdr:txBody>
    </xdr:sp>
    <xdr:clientData/>
  </xdr:twoCellAnchor>
  <xdr:twoCellAnchor>
    <xdr:from>
      <xdr:col>6</xdr:col>
      <xdr:colOff>714375</xdr:colOff>
      <xdr:row>14</xdr:row>
      <xdr:rowOff>152400</xdr:rowOff>
    </xdr:from>
    <xdr:to>
      <xdr:col>8</xdr:col>
      <xdr:colOff>12225</xdr:colOff>
      <xdr:row>16</xdr:row>
      <xdr:rowOff>36150</xdr:rowOff>
    </xdr:to>
    <xdr:sp macro="[0]!delet_camp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24425" y="3562350"/>
          <a:ext cx="1260000" cy="360000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762000</xdr:colOff>
          <xdr:row>10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3362325</xdr:colOff>
          <xdr:row>10</xdr:row>
          <xdr:rowOff>304800</xdr:rowOff>
        </xdr:from>
        <xdr:to>
          <xdr:col>5</xdr:col>
          <xdr:colOff>990600</xdr:colOff>
          <xdr:row>10</xdr:row>
          <xdr:rowOff>561975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Indevida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astro" displayName="Cadastro" ref="A4:J6" totalsRowShown="0">
  <autoFilter ref="A4:J6" xr:uid="{00000000-0009-0000-0100-000001000000}"/>
  <tableColumns count="10">
    <tableColumn id="1" xr3:uid="{00000000-0010-0000-0000-000001000000}" name="Cód.Regist" dataDxfId="3"/>
    <tableColumn id="10" xr3:uid="{7470D3F8-DD96-43FB-BC2D-335396467EAB}" name="CPF" dataDxfId="2"/>
    <tableColumn id="2" xr3:uid="{00000000-0010-0000-0000-000002000000}" name="Nome"/>
    <tableColumn id="12" xr3:uid="{2A3887A9-8694-4E7E-A954-B1772D9D3E25}" name="Contrato"/>
    <tableColumn id="3" xr3:uid="{00000000-0010-0000-0000-000003000000}" name="Projeto"/>
    <tableColumn id="5" xr3:uid="{00000000-0010-0000-0000-000005000000}" name="Cidade"/>
    <tableColumn id="6" xr3:uid="{00000000-0010-0000-0000-000006000000}" name="Estado"/>
    <tableColumn id="7" xr3:uid="{00000000-0010-0000-0000-000007000000}" name="Tratativa" dataDxfId="1"/>
    <tableColumn id="9" xr3:uid="{00000000-0010-0000-0000-000009000000}" name="Telefone" dataDxfId="0"/>
    <tableColumn id="11" xr3:uid="{00000000-0010-0000-0000-00000B000000}" name="E-mai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X38"/>
  <sheetViews>
    <sheetView showGridLines="0" tabSelected="1" workbookViewId="0">
      <selection activeCell="E5" sqref="E5"/>
    </sheetView>
  </sheetViews>
  <sheetFormatPr defaultColWidth="9.140625" defaultRowHeight="18.75" customHeight="1" x14ac:dyDescent="0.3"/>
  <cols>
    <col min="1" max="1" width="2.7109375" style="1" customWidth="1"/>
    <col min="2" max="3" width="10.7109375" style="1" customWidth="1"/>
    <col min="4" max="4" width="1.7109375" style="1" customWidth="1"/>
    <col min="5" max="5" width="50.5703125" style="1" customWidth="1"/>
    <col min="6" max="6" width="16.7109375" style="1" customWidth="1"/>
    <col min="7" max="7" width="12.7109375" style="1" customWidth="1"/>
    <col min="8" max="8" width="16.7109375" style="1" customWidth="1"/>
    <col min="9" max="9" width="2.7109375" style="1" customWidth="1"/>
    <col min="10" max="15" width="9.140625" style="1"/>
    <col min="16" max="16" width="0" style="1" hidden="1" customWidth="1"/>
    <col min="17" max="22" width="9.140625" style="1" hidden="1" customWidth="1"/>
    <col min="23" max="23" width="4" style="1" hidden="1" customWidth="1"/>
    <col min="24" max="24" width="19.28515625" style="1" hidden="1" customWidth="1"/>
    <col min="25" max="26" width="9.140625" style="1" customWidth="1"/>
    <col min="27" max="16384" width="9.140625" style="1"/>
  </cols>
  <sheetData>
    <row r="1" spans="2:24" customFormat="1" ht="18.75" customHeight="1" x14ac:dyDescent="0.25"/>
    <row r="2" spans="2:24" ht="24.75" x14ac:dyDescent="0.5">
      <c r="B2" s="25" t="s">
        <v>0</v>
      </c>
      <c r="C2" s="25"/>
      <c r="D2" s="25"/>
      <c r="E2" s="25"/>
      <c r="F2" s="25"/>
      <c r="G2" s="25"/>
      <c r="H2" s="25"/>
    </row>
    <row r="3" spans="2:24" ht="18.75" customHeight="1" x14ac:dyDescent="0.3">
      <c r="R3" s="1">
        <v>24</v>
      </c>
      <c r="S3" s="1">
        <v>3</v>
      </c>
      <c r="U3" s="1" t="b">
        <v>1</v>
      </c>
    </row>
    <row r="4" spans="2:24" x14ac:dyDescent="0.3">
      <c r="C4" s="2" t="s">
        <v>1</v>
      </c>
      <c r="E4" s="9">
        <f>MAX(Cadastro[Cód.Regist]) + 1</f>
        <v>2</v>
      </c>
      <c r="F4" s="7"/>
      <c r="G4" s="7"/>
      <c r="H4" s="7"/>
      <c r="I4" s="7"/>
      <c r="J4" s="7"/>
      <c r="S4" s="1" t="s">
        <v>28</v>
      </c>
      <c r="U4" s="1" t="s">
        <v>32</v>
      </c>
    </row>
    <row r="5" spans="2:24" x14ac:dyDescent="0.3">
      <c r="C5" s="2" t="s">
        <v>25</v>
      </c>
      <c r="E5" s="22"/>
      <c r="F5" s="8"/>
      <c r="G5" s="8"/>
      <c r="H5" s="8"/>
      <c r="I5" s="7"/>
      <c r="J5" s="7"/>
      <c r="S5" s="1" t="s">
        <v>34</v>
      </c>
    </row>
    <row r="6" spans="2:24" x14ac:dyDescent="0.3">
      <c r="C6" s="2" t="s">
        <v>2</v>
      </c>
      <c r="F6" s="8"/>
      <c r="G6" s="8"/>
      <c r="H6" s="8"/>
      <c r="I6" s="7"/>
      <c r="J6" s="7"/>
      <c r="S6" s="1" t="s">
        <v>29</v>
      </c>
    </row>
    <row r="7" spans="2:24" x14ac:dyDescent="0.3">
      <c r="C7" s="2" t="s">
        <v>26</v>
      </c>
      <c r="F7" s="8"/>
      <c r="G7" s="8"/>
      <c r="H7" s="8"/>
      <c r="I7" s="7"/>
      <c r="J7" s="7"/>
      <c r="S7" s="1" t="s">
        <v>30</v>
      </c>
    </row>
    <row r="8" spans="2:24" x14ac:dyDescent="0.3">
      <c r="C8" s="2" t="s">
        <v>27</v>
      </c>
      <c r="E8" s="11" t="str" cm="1">
        <f t="array" ref="E8">INDEX(S4:S8,S3)</f>
        <v>Caixa Residencial</v>
      </c>
      <c r="F8" s="7"/>
      <c r="G8" s="7"/>
      <c r="H8" s="7"/>
      <c r="I8" s="7"/>
      <c r="J8" s="7"/>
      <c r="S8" s="1" t="s">
        <v>31</v>
      </c>
    </row>
    <row r="9" spans="2:24" x14ac:dyDescent="0.3">
      <c r="C9" s="2" t="s">
        <v>3</v>
      </c>
      <c r="E9" s="10"/>
      <c r="F9" s="8"/>
      <c r="G9" s="7"/>
      <c r="H9" s="7"/>
      <c r="I9" s="7"/>
      <c r="J9" s="7"/>
    </row>
    <row r="10" spans="2:24" x14ac:dyDescent="0.3">
      <c r="C10" s="2" t="s">
        <v>5</v>
      </c>
      <c r="E10" s="10" t="str" cm="1">
        <f t="array" ref="E10">INDEX(W12:X38,R3,2)</f>
        <v>Santa Catarina</v>
      </c>
      <c r="F10" s="7"/>
      <c r="G10" s="7"/>
      <c r="H10" s="7"/>
      <c r="I10" s="7"/>
      <c r="J10" s="7"/>
    </row>
    <row r="11" spans="2:24" ht="75" customHeight="1" x14ac:dyDescent="0.3">
      <c r="C11" s="16" t="s">
        <v>33</v>
      </c>
      <c r="E11" s="17"/>
    </row>
    <row r="12" spans="2:24" x14ac:dyDescent="0.3">
      <c r="C12" s="2" t="s">
        <v>7</v>
      </c>
      <c r="E12" s="18"/>
      <c r="F12" s="7"/>
      <c r="G12" s="7"/>
      <c r="H12" s="7"/>
      <c r="I12" s="7"/>
      <c r="W12" s="14" t="s">
        <v>35</v>
      </c>
      <c r="X12" s="15" t="s">
        <v>36</v>
      </c>
    </row>
    <row r="13" spans="2:24" x14ac:dyDescent="0.3">
      <c r="C13" s="2" t="s">
        <v>8</v>
      </c>
      <c r="E13" s="13"/>
      <c r="F13" s="8"/>
      <c r="G13" s="8"/>
      <c r="H13" s="8"/>
      <c r="I13" s="7"/>
      <c r="W13" s="14" t="s">
        <v>37</v>
      </c>
      <c r="X13" s="15" t="s">
        <v>38</v>
      </c>
    </row>
    <row r="14" spans="2:24" ht="18.75" customHeight="1" x14ac:dyDescent="0.3">
      <c r="F14" s="7"/>
      <c r="G14" s="7"/>
      <c r="H14" s="7"/>
      <c r="I14" s="7"/>
      <c r="W14" s="14" t="s">
        <v>39</v>
      </c>
      <c r="X14" s="15" t="s">
        <v>40</v>
      </c>
    </row>
    <row r="15" spans="2:24" x14ac:dyDescent="0.3">
      <c r="B15" s="3"/>
      <c r="C15" s="3"/>
      <c r="D15" s="3"/>
      <c r="E15" s="3"/>
      <c r="F15" s="12"/>
      <c r="G15" s="12"/>
      <c r="H15" s="12"/>
      <c r="W15" s="14" t="s">
        <v>41</v>
      </c>
      <c r="X15" s="15" t="s">
        <v>42</v>
      </c>
    </row>
    <row r="16" spans="2:24" x14ac:dyDescent="0.3">
      <c r="C16" s="2" t="s">
        <v>9</v>
      </c>
      <c r="E16" s="4">
        <f>COUNT(Cadastro[Cód.Regist])</f>
        <v>1</v>
      </c>
      <c r="W16" s="14" t="s">
        <v>43</v>
      </c>
      <c r="X16" s="15" t="s">
        <v>44</v>
      </c>
    </row>
    <row r="17" spans="23:24" ht="18.75" customHeight="1" x14ac:dyDescent="0.3">
      <c r="W17" s="14" t="s">
        <v>45</v>
      </c>
      <c r="X17" s="15" t="s">
        <v>46</v>
      </c>
    </row>
    <row r="18" spans="23:24" ht="18.75" customHeight="1" x14ac:dyDescent="0.3">
      <c r="W18" s="14" t="s">
        <v>47</v>
      </c>
      <c r="X18" s="15" t="s">
        <v>48</v>
      </c>
    </row>
    <row r="19" spans="23:24" ht="18.75" customHeight="1" x14ac:dyDescent="0.3">
      <c r="W19" s="14" t="s">
        <v>49</v>
      </c>
      <c r="X19" s="15" t="s">
        <v>50</v>
      </c>
    </row>
    <row r="20" spans="23:24" ht="18.75" customHeight="1" x14ac:dyDescent="0.3">
      <c r="W20" s="14" t="s">
        <v>51</v>
      </c>
      <c r="X20" s="15" t="s">
        <v>52</v>
      </c>
    </row>
    <row r="21" spans="23:24" ht="18.75" customHeight="1" x14ac:dyDescent="0.3">
      <c r="W21" s="14" t="s">
        <v>53</v>
      </c>
      <c r="X21" s="15" t="s">
        <v>54</v>
      </c>
    </row>
    <row r="22" spans="23:24" ht="18.75" customHeight="1" x14ac:dyDescent="0.3">
      <c r="W22" s="14" t="s">
        <v>55</v>
      </c>
      <c r="X22" s="15" t="s">
        <v>56</v>
      </c>
    </row>
    <row r="23" spans="23:24" ht="18.75" customHeight="1" x14ac:dyDescent="0.3">
      <c r="W23" s="14" t="s">
        <v>57</v>
      </c>
      <c r="X23" s="15" t="s">
        <v>58</v>
      </c>
    </row>
    <row r="24" spans="23:24" ht="18.75" customHeight="1" x14ac:dyDescent="0.3">
      <c r="W24" s="14" t="s">
        <v>17</v>
      </c>
      <c r="X24" s="15" t="s">
        <v>59</v>
      </c>
    </row>
    <row r="25" spans="23:24" ht="18.75" customHeight="1" x14ac:dyDescent="0.3">
      <c r="W25" s="14" t="s">
        <v>60</v>
      </c>
      <c r="X25" s="15" t="s">
        <v>61</v>
      </c>
    </row>
    <row r="26" spans="23:24" ht="18.75" customHeight="1" x14ac:dyDescent="0.3">
      <c r="W26" s="14" t="s">
        <v>62</v>
      </c>
      <c r="X26" s="15" t="s">
        <v>63</v>
      </c>
    </row>
    <row r="27" spans="23:24" ht="18.75" customHeight="1" x14ac:dyDescent="0.3">
      <c r="W27" s="14" t="s">
        <v>18</v>
      </c>
      <c r="X27" s="15" t="s">
        <v>64</v>
      </c>
    </row>
    <row r="28" spans="23:24" ht="18.75" customHeight="1" x14ac:dyDescent="0.3">
      <c r="W28" s="14" t="s">
        <v>65</v>
      </c>
      <c r="X28" s="15" t="s">
        <v>66</v>
      </c>
    </row>
    <row r="29" spans="23:24" ht="18.75" customHeight="1" x14ac:dyDescent="0.3">
      <c r="W29" s="14" t="s">
        <v>67</v>
      </c>
      <c r="X29" s="15" t="s">
        <v>68</v>
      </c>
    </row>
    <row r="30" spans="23:24" ht="18.75" customHeight="1" x14ac:dyDescent="0.3">
      <c r="W30" s="14" t="s">
        <v>16</v>
      </c>
      <c r="X30" s="15" t="s">
        <v>15</v>
      </c>
    </row>
    <row r="31" spans="23:24" ht="18.75" customHeight="1" x14ac:dyDescent="0.3">
      <c r="W31" s="14" t="s">
        <v>69</v>
      </c>
      <c r="X31" s="15" t="s">
        <v>70</v>
      </c>
    </row>
    <row r="32" spans="23:24" ht="18.75" customHeight="1" x14ac:dyDescent="0.3">
      <c r="W32" s="14" t="s">
        <v>71</v>
      </c>
      <c r="X32" s="15" t="s">
        <v>72</v>
      </c>
    </row>
    <row r="33" spans="23:24" ht="18.75" customHeight="1" x14ac:dyDescent="0.3">
      <c r="W33" s="14" t="s">
        <v>73</v>
      </c>
      <c r="X33" s="15" t="s">
        <v>74</v>
      </c>
    </row>
    <row r="34" spans="23:24" ht="18.75" customHeight="1" x14ac:dyDescent="0.3">
      <c r="W34" s="14" t="s">
        <v>75</v>
      </c>
      <c r="X34" s="15" t="s">
        <v>76</v>
      </c>
    </row>
    <row r="35" spans="23:24" ht="18.75" customHeight="1" x14ac:dyDescent="0.3">
      <c r="W35" s="14" t="s">
        <v>77</v>
      </c>
      <c r="X35" s="15" t="s">
        <v>78</v>
      </c>
    </row>
    <row r="36" spans="23:24" ht="18.75" customHeight="1" x14ac:dyDescent="0.3">
      <c r="W36" s="14" t="s">
        <v>6</v>
      </c>
      <c r="X36" s="15" t="s">
        <v>4</v>
      </c>
    </row>
    <row r="37" spans="23:24" ht="18.75" customHeight="1" x14ac:dyDescent="0.3">
      <c r="W37" s="14" t="s">
        <v>79</v>
      </c>
      <c r="X37" s="15" t="s">
        <v>80</v>
      </c>
    </row>
    <row r="38" spans="23:24" ht="18.75" customHeight="1" x14ac:dyDescent="0.3">
      <c r="W38" s="14" t="s">
        <v>81</v>
      </c>
      <c r="X38" s="15" t="s">
        <v>82</v>
      </c>
    </row>
  </sheetData>
  <mergeCells count="1">
    <mergeCell ref="B2:H2"/>
  </mergeCells>
  <conditionalFormatting sqref="S4:T8">
    <cfRule type="duplicateValues" dxfId="4" priority="1"/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5</xdr:col>
                    <xdr:colOff>9525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op Down 10">
              <controlPr defaultSize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 macro="[0]!copyind">
                <anchor moveWithCells="1">
                  <from>
                    <xdr:col>4</xdr:col>
                    <xdr:colOff>3362325</xdr:colOff>
                    <xdr:row>10</xdr:row>
                    <xdr:rowOff>304800</xdr:rowOff>
                  </from>
                  <to>
                    <xdr:col>5</xdr:col>
                    <xdr:colOff>990600</xdr:colOff>
                    <xdr:row>10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0"/>
  <sheetViews>
    <sheetView showGridLines="0" workbookViewId="0">
      <selection activeCell="A4" sqref="A4"/>
    </sheetView>
  </sheetViews>
  <sheetFormatPr defaultRowHeight="15" x14ac:dyDescent="0.25"/>
  <cols>
    <col min="1" max="1" width="14" customWidth="1"/>
    <col min="2" max="2" width="30" style="24" bestFit="1" customWidth="1"/>
    <col min="3" max="3" width="35.7109375" bestFit="1" customWidth="1"/>
    <col min="4" max="4" width="14.140625" bestFit="1" customWidth="1"/>
    <col min="5" max="5" width="16.28515625" customWidth="1"/>
    <col min="6" max="6" width="10.7109375" customWidth="1"/>
    <col min="7" max="7" width="14.5703125" customWidth="1"/>
    <col min="8" max="8" width="79.85546875" style="20" customWidth="1"/>
    <col min="9" max="9" width="15.28515625" style="19" customWidth="1"/>
    <col min="10" max="10" width="50.28515625" customWidth="1"/>
  </cols>
  <sheetData>
    <row r="1" spans="1:10" ht="18.75" x14ac:dyDescent="0.3">
      <c r="A1" s="5" t="s">
        <v>19</v>
      </c>
    </row>
    <row r="4" spans="1:10" x14ac:dyDescent="0.25">
      <c r="A4" t="s">
        <v>20</v>
      </c>
      <c r="B4" s="24" t="s">
        <v>23</v>
      </c>
      <c r="C4" t="s">
        <v>10</v>
      </c>
      <c r="D4" t="s">
        <v>24</v>
      </c>
      <c r="E4" t="s">
        <v>21</v>
      </c>
      <c r="F4" t="s">
        <v>11</v>
      </c>
      <c r="G4" t="s">
        <v>12</v>
      </c>
      <c r="H4" s="20" t="s">
        <v>22</v>
      </c>
      <c r="I4" s="19" t="s">
        <v>13</v>
      </c>
      <c r="J4" t="s">
        <v>14</v>
      </c>
    </row>
    <row r="5" spans="1:10" ht="12" customHeight="1" x14ac:dyDescent="0.25">
      <c r="A5" s="6"/>
      <c r="B5" s="23"/>
      <c r="H5" s="21"/>
    </row>
    <row r="6" spans="1:10" ht="16.5" customHeight="1" x14ac:dyDescent="0.25">
      <c r="A6" s="6">
        <v>1</v>
      </c>
      <c r="B6" s="23">
        <v>41500022233</v>
      </c>
      <c r="C6" t="s">
        <v>83</v>
      </c>
      <c r="D6" t="s">
        <v>84</v>
      </c>
      <c r="E6" t="s">
        <v>29</v>
      </c>
      <c r="F6" t="s">
        <v>85</v>
      </c>
      <c r="G6" t="s">
        <v>78</v>
      </c>
      <c r="H6" s="21" t="s">
        <v>32</v>
      </c>
      <c r="I6" s="19">
        <v>11999992222</v>
      </c>
      <c r="J6" t="s">
        <v>86</v>
      </c>
    </row>
    <row r="20" ht="29.2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Cadastro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Carvalho Navarro</dc:creator>
  <cp:lastModifiedBy>Windows User</cp:lastModifiedBy>
  <dcterms:created xsi:type="dcterms:W3CDTF">2016-04-06T18:55:11Z</dcterms:created>
  <dcterms:modified xsi:type="dcterms:W3CDTF">2023-08-25T01:03:50Z</dcterms:modified>
</cp:coreProperties>
</file>